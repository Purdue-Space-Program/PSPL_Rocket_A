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Documents\GitHub\PSPL_Rocket_A\"/>
    </mc:Choice>
  </mc:AlternateContent>
  <xr:revisionPtr revIDLastSave="0" documentId="13_ncr:1_{096CE0F9-97AB-4346-AD1B-DB59421DA8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/>
  <c r="D5" i="1"/>
  <c r="G5" i="1"/>
  <c r="C4" i="1"/>
  <c r="F4" i="1"/>
  <c r="D3" i="1"/>
  <c r="C3" i="1"/>
  <c r="G3" i="1"/>
  <c r="F3" i="1"/>
  <c r="G6" i="1"/>
  <c r="G7" i="1"/>
  <c r="G8" i="1"/>
  <c r="G9" i="1"/>
  <c r="F5" i="1"/>
  <c r="F6" i="1"/>
  <c r="F7" i="1"/>
  <c r="F8" i="1"/>
  <c r="F9" i="1"/>
  <c r="B16" i="1"/>
  <c r="B15" i="1"/>
  <c r="C9" i="1" s="1"/>
  <c r="D9" i="1"/>
  <c r="C8" i="1"/>
  <c r="D6" i="1"/>
  <c r="C6" i="1"/>
  <c r="C5" i="1"/>
  <c r="C7" i="1" l="1"/>
  <c r="D7" i="1"/>
  <c r="D8" i="1"/>
</calcChain>
</file>

<file path=xl/sharedStrings.xml><?xml version="1.0" encoding="utf-8"?>
<sst xmlns="http://schemas.openxmlformats.org/spreadsheetml/2006/main" count="20" uniqueCount="18">
  <si>
    <t>Tube Sizes</t>
  </si>
  <si>
    <t>Outer Diameter (in)</t>
  </si>
  <si>
    <t>Wall Thickness Available (in)</t>
  </si>
  <si>
    <t>Oxidizer Line Velocity (m/s)</t>
  </si>
  <si>
    <t>Fuel Line Velocity (m/s)</t>
  </si>
  <si>
    <t>0.049,0.065, 0.083</t>
  </si>
  <si>
    <t>0.065, 0.095, 0.120</t>
  </si>
  <si>
    <t>0.065, 0.083, 0.095, 0.120, 0.188</t>
  </si>
  <si>
    <t xml:space="preserve">Oxidizer (LOX) Flow Rate: </t>
  </si>
  <si>
    <t>lbm/s</t>
  </si>
  <si>
    <t>Fuel (IPA) Flow Rate</t>
  </si>
  <si>
    <t>Volumetric Flow Rate LOX</t>
  </si>
  <si>
    <t>Density Of LOX</t>
  </si>
  <si>
    <t>kg/m^3</t>
  </si>
  <si>
    <t>Volumetric Flow Rate IPA</t>
  </si>
  <si>
    <t xml:space="preserve">Density of IPA </t>
  </si>
  <si>
    <t>Oxidizer Line Velocity (ft/s)</t>
  </si>
  <si>
    <t>Fuel Line Velocity (ft/s)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</si>
</sst>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0" xfId="0" applyFont="1"/>
    <xf numFmtId="2" fontId="2" fillId="0" borderId="0" xfId="0" applyNumberFormat="1" applyFo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D4" sqref="D4"/>
    </sheetView>
  </sheetViews>
  <sheetFormatPr defaultColWidth="12.6328125" defaultRowHeight="15.75" customHeight="1" x14ac:dyDescent="0.25"/>
  <cols>
    <col min="1" max="1" width="23.90625" customWidth="1"/>
    <col min="2" max="2" width="30.26953125" customWidth="1"/>
    <col min="3" max="3" width="28.6328125" customWidth="1"/>
    <col min="4" max="4" width="21.36328125" customWidth="1"/>
    <col min="6" max="6" width="26.26953125" customWidth="1"/>
    <col min="7" max="7" width="24.36328125" customWidth="1"/>
  </cols>
  <sheetData>
    <row r="1" spans="1:7" ht="15.75" customHeight="1" x14ac:dyDescent="0.3">
      <c r="A1" s="1" t="s">
        <v>0</v>
      </c>
    </row>
    <row r="2" spans="1:7" ht="12.5" x14ac:dyDescent="0.25">
      <c r="A2" s="2" t="s">
        <v>1</v>
      </c>
      <c r="B2" s="2" t="s">
        <v>2</v>
      </c>
      <c r="C2" s="2" t="s">
        <v>3</v>
      </c>
      <c r="D2" s="2" t="s">
        <v>4</v>
      </c>
      <c r="F2" s="2" t="s">
        <v>16</v>
      </c>
      <c r="G2" s="2" t="s">
        <v>17</v>
      </c>
    </row>
    <row r="3" spans="1:7" ht="12.5" x14ac:dyDescent="0.25">
      <c r="A3" s="3">
        <v>0.25</v>
      </c>
      <c r="B3" s="3">
        <v>3.5000000000000003E-2</v>
      </c>
      <c r="C3" s="4">
        <f>$B$15/((3.14*((A3-2*(B3))*0.0254)^2)/4)</f>
        <v>43.123861643573498</v>
      </c>
      <c r="D3" s="4">
        <f>$B$16/((3.14*((A3-2*(B3))*0.0254)^2)/4)</f>
        <v>62.600923836281645</v>
      </c>
      <c r="F3" s="8">
        <f>C3*3.28084</f>
        <v>141.48249023470169</v>
      </c>
      <c r="G3" s="8">
        <f>D3*3.28084</f>
        <v>205.38361495902626</v>
      </c>
    </row>
    <row r="4" spans="1:7" ht="12.5" x14ac:dyDescent="0.25">
      <c r="A4" s="3">
        <v>0.375</v>
      </c>
      <c r="B4" s="3">
        <v>4.9000000000000002E-2</v>
      </c>
      <c r="C4" s="4">
        <f>$B$15/((3.14*((A4-2*(B4))*0.0254)^2)/4)</f>
        <v>18.2097136317661</v>
      </c>
      <c r="D4" s="4">
        <f>$B$16/((3.14*((A4-2*(B4))*0.0254)^2)/4)</f>
        <v>26.434202613034508</v>
      </c>
      <c r="F4" s="8">
        <f t="shared" ref="F4:F9" si="0">C4*3.28084</f>
        <v>59.743156871643492</v>
      </c>
      <c r="G4" s="8">
        <f t="shared" ref="G4:G9" si="1">D4*3.28084</f>
        <v>86.726389300948128</v>
      </c>
    </row>
    <row r="5" spans="1:7" ht="12.5" x14ac:dyDescent="0.25">
      <c r="A5" s="3">
        <v>0.5</v>
      </c>
      <c r="B5" s="3" t="s">
        <v>5</v>
      </c>
      <c r="C5" s="4">
        <f t="shared" ref="C3:C9" si="2">$B$15/((3.14*(A5*0.0254)^2)/4)</f>
        <v>5.5888524690071257</v>
      </c>
      <c r="D5" s="4">
        <f t="shared" ref="D3:D9" si="3">$B$16/((3.14*(A5*0.0254)^2)/4)</f>
        <v>8.1130797291821004</v>
      </c>
      <c r="F5" s="8">
        <f t="shared" si="0"/>
        <v>18.336130734417338</v>
      </c>
      <c r="G5" s="8">
        <f t="shared" si="1"/>
        <v>26.617716498689802</v>
      </c>
    </row>
    <row r="6" spans="1:7" ht="12.5" x14ac:dyDescent="0.25">
      <c r="A6" s="3">
        <v>0.625</v>
      </c>
      <c r="B6" s="3">
        <v>6.5000000000000002E-2</v>
      </c>
      <c r="C6" s="4">
        <f t="shared" si="2"/>
        <v>3.5768655801645597</v>
      </c>
      <c r="D6" s="4">
        <f t="shared" si="3"/>
        <v>5.1923710266765433</v>
      </c>
      <c r="F6" s="8">
        <f t="shared" si="0"/>
        <v>11.735123670027093</v>
      </c>
      <c r="G6" s="8">
        <f t="shared" si="1"/>
        <v>17.03533855916147</v>
      </c>
    </row>
    <row r="7" spans="1:7" ht="12.5" x14ac:dyDescent="0.25">
      <c r="A7" s="3">
        <v>0.75</v>
      </c>
      <c r="B7" s="3" t="s">
        <v>6</v>
      </c>
      <c r="C7" s="4">
        <f t="shared" si="2"/>
        <v>2.4839344306698337</v>
      </c>
      <c r="D7" s="4">
        <f t="shared" si="3"/>
        <v>3.6058132129698226</v>
      </c>
      <c r="F7" s="8">
        <f t="shared" si="0"/>
        <v>8.1493914375188172</v>
      </c>
      <c r="G7" s="8">
        <f t="shared" si="1"/>
        <v>11.830096221639913</v>
      </c>
    </row>
    <row r="8" spans="1:7" ht="12.5" x14ac:dyDescent="0.25">
      <c r="A8" s="3">
        <v>1</v>
      </c>
      <c r="B8" s="3" t="s">
        <v>7</v>
      </c>
      <c r="C8" s="4">
        <f t="shared" si="2"/>
        <v>1.3972131172517814</v>
      </c>
      <c r="D8" s="4">
        <f t="shared" si="3"/>
        <v>2.0282699322955251</v>
      </c>
      <c r="F8" s="8">
        <f t="shared" si="0"/>
        <v>4.5840326836043346</v>
      </c>
      <c r="G8" s="8">
        <f t="shared" si="1"/>
        <v>6.6544291246724505</v>
      </c>
    </row>
    <row r="9" spans="1:7" ht="12.5" x14ac:dyDescent="0.25">
      <c r="A9" s="3">
        <v>1.5</v>
      </c>
      <c r="B9" s="3">
        <v>0.12</v>
      </c>
      <c r="C9" s="4">
        <f t="shared" si="2"/>
        <v>0.62098360766745841</v>
      </c>
      <c r="D9" s="4">
        <f t="shared" si="3"/>
        <v>0.90145330324245565</v>
      </c>
      <c r="F9" s="8">
        <f t="shared" si="0"/>
        <v>2.0373478593797043</v>
      </c>
      <c r="G9" s="8">
        <f t="shared" si="1"/>
        <v>2.9575240554099782</v>
      </c>
    </row>
    <row r="11" spans="1:7" ht="15.75" customHeight="1" x14ac:dyDescent="0.25">
      <c r="C11" s="7"/>
    </row>
    <row r="12" spans="1:7" ht="12.5" x14ac:dyDescent="0.25">
      <c r="A12" s="2" t="s">
        <v>8</v>
      </c>
      <c r="B12" s="2">
        <v>1.78</v>
      </c>
      <c r="C12" s="5" t="s">
        <v>9</v>
      </c>
    </row>
    <row r="13" spans="1:7" ht="12.5" x14ac:dyDescent="0.25">
      <c r="A13" s="2" t="s">
        <v>10</v>
      </c>
      <c r="B13" s="2">
        <v>1.78</v>
      </c>
      <c r="C13" s="5" t="s">
        <v>9</v>
      </c>
    </row>
    <row r="14" spans="1:7" ht="12.5" x14ac:dyDescent="0.25">
      <c r="B14" s="6"/>
    </row>
    <row r="15" spans="1:7" ht="12.5" x14ac:dyDescent="0.25">
      <c r="A15" s="2" t="s">
        <v>11</v>
      </c>
      <c r="B15" s="2">
        <f t="shared" ref="B15:B16" si="4">(B12*0.453592)/D15</f>
        <v>7.0761942156003497E-4</v>
      </c>
      <c r="C15" s="2" t="s">
        <v>12</v>
      </c>
      <c r="D15" s="2">
        <v>1141</v>
      </c>
      <c r="E15" s="2" t="s">
        <v>13</v>
      </c>
    </row>
    <row r="16" spans="1:7" ht="12.5" x14ac:dyDescent="0.25">
      <c r="A16" s="2" t="s">
        <v>14</v>
      </c>
      <c r="B16" s="2">
        <f t="shared" si="4"/>
        <v>1.027218524173028E-3</v>
      </c>
      <c r="C16" s="2" t="s">
        <v>15</v>
      </c>
      <c r="D16" s="2">
        <v>786</v>
      </c>
      <c r="E1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Zorba Gustafsson</cp:lastModifiedBy>
  <dcterms:created xsi:type="dcterms:W3CDTF">2025-11-10T23:17:53Z</dcterms:created>
  <dcterms:modified xsi:type="dcterms:W3CDTF">2026-01-17T06:55:41Z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2026-01-15T00:27:09Z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13edba45-3328-4a1d-b93d-9d15a0e7dfcc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