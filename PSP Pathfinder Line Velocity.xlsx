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jmedasan_purdue_edu/Documents/"/>
    </mc:Choice>
  </mc:AlternateContent>
  <xr:revisionPtr revIDLastSave="0" documentId="8_{404B236B-E779-4805-A57B-F80687362D4D}" xr6:coauthVersionLast="47" xr6:coauthVersionMax="47" xr10:uidLastSave="{00000000-0000-0000-0000-000000000000}"/>
  <bookViews>
    <workbookView xWindow="2688" yWindow="2688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D4" i="1" s="1"/>
  <c r="B15" i="1"/>
  <c r="C9" i="1" s="1"/>
  <c r="D9" i="1"/>
  <c r="C8" i="1"/>
  <c r="D6" i="1"/>
  <c r="C6" i="1"/>
  <c r="D5" i="1"/>
  <c r="C5" i="1"/>
  <c r="C4" i="1"/>
  <c r="C3" i="1"/>
  <c r="D3" i="1" l="1"/>
  <c r="C7" i="1"/>
  <c r="D7" i="1"/>
  <c r="D8" i="1"/>
</calcChain>
</file>

<file path=xl/sharedStrings.xml><?xml version="1.0" encoding="utf-8"?>
<sst xmlns="http://schemas.openxmlformats.org/spreadsheetml/2006/main" count="18" uniqueCount="16">
  <si>
    <t>Tube Sizes</t>
  </si>
  <si>
    <t>Outer Diameter (in)</t>
  </si>
  <si>
    <t>Wall Thickness Available (in)</t>
  </si>
  <si>
    <t>Oxidizer Line Velocity (m/s)</t>
  </si>
  <si>
    <t>Fuel Line Velocity (m/s)</t>
  </si>
  <si>
    <t>0.049,0.065, 0.083</t>
  </si>
  <si>
    <t>0.065, 0.095, 0.120</t>
  </si>
  <si>
    <t>0.065, 0.083, 0.095, 0.120, 0.188</t>
  </si>
  <si>
    <t xml:space="preserve">Oxidizer (LOX) Flow Rate: </t>
  </si>
  <si>
    <t>lbm/s</t>
  </si>
  <si>
    <t>Fuel (IPA) Flow Rate</t>
  </si>
  <si>
    <t>Volumetric Flow Rate LOX</t>
  </si>
  <si>
    <t>Density Of LOX</t>
  </si>
  <si>
    <t>kg/m^3</t>
  </si>
  <si>
    <t>Volumetric Flow Rate IPA</t>
  </si>
  <si>
    <t xml:space="preserve">Density of IPA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</si>
</sst>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u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2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6"/>
  <sheetViews>
    <sheetView tabSelected="1" workbookViewId="0"/>
  </sheetViews>
  <sheetFormatPr defaultColWidth="12.6640625" defaultRowHeight="15.75" customHeight="1" x14ac:dyDescent="0.25"/>
  <cols>
    <col min="1" max="1" width="22" customWidth="1"/>
    <col min="2" max="2" width="25.77734375" customWidth="1"/>
    <col min="3" max="3" width="21.21875" customWidth="1"/>
    <col min="4" max="4" width="21.33203125" customWidth="1"/>
  </cols>
  <sheetData>
    <row r="1" spans="1:5" x14ac:dyDescent="0.25">
      <c r="A1" s="1" t="s">
        <v>0</v>
      </c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5" x14ac:dyDescent="0.25">
      <c r="A3" s="3">
        <v>0.25</v>
      </c>
      <c r="B3" s="3">
        <v>3.5000000000000003E-2</v>
      </c>
      <c r="C3" s="4">
        <f t="shared" ref="C3:C9" si="0">$B$15/((3.14*(A3*0.0254)^2)/4)</f>
        <v>22.355409876028503</v>
      </c>
      <c r="D3" s="4">
        <f t="shared" ref="D3:D9" si="1">$B$16/((3.14*(A3*0.0254)^2)/4)</f>
        <v>32.452318916728402</v>
      </c>
    </row>
    <row r="4" spans="1:5" x14ac:dyDescent="0.25">
      <c r="A4" s="3">
        <v>0.375</v>
      </c>
      <c r="B4" s="3">
        <v>4.9000000000000002E-2</v>
      </c>
      <c r="C4" s="4">
        <f t="shared" si="0"/>
        <v>9.9357377226793346</v>
      </c>
      <c r="D4" s="4">
        <f t="shared" si="1"/>
        <v>14.42325285187929</v>
      </c>
    </row>
    <row r="5" spans="1:5" x14ac:dyDescent="0.25">
      <c r="A5" s="3">
        <v>0.5</v>
      </c>
      <c r="B5" s="3" t="s">
        <v>5</v>
      </c>
      <c r="C5" s="4">
        <f t="shared" si="0"/>
        <v>5.5888524690071257</v>
      </c>
      <c r="D5" s="4">
        <f t="shared" si="1"/>
        <v>8.1130797291821004</v>
      </c>
    </row>
    <row r="6" spans="1:5" x14ac:dyDescent="0.25">
      <c r="A6" s="3">
        <v>0.625</v>
      </c>
      <c r="B6" s="3">
        <v>6.5000000000000002E-2</v>
      </c>
      <c r="C6" s="4">
        <f t="shared" si="0"/>
        <v>3.5768655801645597</v>
      </c>
      <c r="D6" s="4">
        <f t="shared" si="1"/>
        <v>5.1923710266765433</v>
      </c>
    </row>
    <row r="7" spans="1:5" x14ac:dyDescent="0.25">
      <c r="A7" s="3">
        <v>0.75</v>
      </c>
      <c r="B7" s="3" t="s">
        <v>6</v>
      </c>
      <c r="C7" s="4">
        <f t="shared" si="0"/>
        <v>2.4839344306698337</v>
      </c>
      <c r="D7" s="4">
        <f t="shared" si="1"/>
        <v>3.6058132129698226</v>
      </c>
    </row>
    <row r="8" spans="1:5" x14ac:dyDescent="0.25">
      <c r="A8" s="3">
        <v>1</v>
      </c>
      <c r="B8" s="3" t="s">
        <v>7</v>
      </c>
      <c r="C8" s="4">
        <f t="shared" si="0"/>
        <v>1.3972131172517814</v>
      </c>
      <c r="D8" s="4">
        <f t="shared" si="1"/>
        <v>2.0282699322955251</v>
      </c>
    </row>
    <row r="9" spans="1:5" x14ac:dyDescent="0.25">
      <c r="A9" s="3">
        <v>1.5</v>
      </c>
      <c r="B9" s="3">
        <v>0.12</v>
      </c>
      <c r="C9" s="4">
        <f t="shared" si="0"/>
        <v>0.62098360766745841</v>
      </c>
      <c r="D9" s="4">
        <f t="shared" si="1"/>
        <v>0.90145330324245565</v>
      </c>
    </row>
    <row r="12" spans="1:5" x14ac:dyDescent="0.25">
      <c r="A12" s="2" t="s">
        <v>8</v>
      </c>
      <c r="B12" s="2">
        <v>1.78</v>
      </c>
      <c r="C12" s="5" t="s">
        <v>9</v>
      </c>
    </row>
    <row r="13" spans="1:5" x14ac:dyDescent="0.25">
      <c r="A13" s="2" t="s">
        <v>10</v>
      </c>
      <c r="B13" s="2">
        <v>1.78</v>
      </c>
      <c r="C13" s="5" t="s">
        <v>9</v>
      </c>
    </row>
    <row r="14" spans="1:5" x14ac:dyDescent="0.25">
      <c r="B14" s="6"/>
    </row>
    <row r="15" spans="1:5" x14ac:dyDescent="0.25">
      <c r="A15" s="2" t="s">
        <v>11</v>
      </c>
      <c r="B15" s="2">
        <f t="shared" ref="B15:B16" si="2">(B12*0.453592)/D15</f>
        <v>7.0761942156003497E-4</v>
      </c>
      <c r="C15" s="2" t="s">
        <v>12</v>
      </c>
      <c r="D15" s="2">
        <v>1141</v>
      </c>
      <c r="E15" s="2" t="s">
        <v>13</v>
      </c>
    </row>
    <row r="16" spans="1:5" x14ac:dyDescent="0.25">
      <c r="A16" s="2" t="s">
        <v>14</v>
      </c>
      <c r="B16" s="2">
        <f t="shared" si="2"/>
        <v>1.027218524173028E-3</v>
      </c>
      <c r="C16" s="2" t="s">
        <v>15</v>
      </c>
      <c r="D16" s="2">
        <v>786</v>
      </c>
      <c r="E1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Jayanth Medasani</cp:lastModifiedBy>
  <dcterms:created xsi:type="dcterms:W3CDTF">2025-11-10T23:17:53Z</dcterms:created>
  <dcterms:modified xsi:type="dcterms:W3CDTF">2025-11-10T23:17:53Z</dcterms:modified>
</cp:coreProperties>
</file>